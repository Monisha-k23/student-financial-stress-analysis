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f928568079c673b/Desktop/Data_Analytics_portfolio/Student_Loan_project/Excel/"/>
    </mc:Choice>
  </mc:AlternateContent>
  <xr:revisionPtr revIDLastSave="0" documentId="8_{4F8036D7-C7EF-4D26-AC03-5258B1059C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I21" i="1"/>
  <c r="K2" i="1"/>
  <c r="K3" i="1"/>
  <c r="K4" i="1"/>
  <c r="K5" i="1"/>
  <c r="K6" i="1"/>
  <c r="K7" i="1"/>
  <c r="K9" i="1"/>
  <c r="K10" i="1"/>
  <c r="K11" i="1"/>
  <c r="K12" i="1"/>
  <c r="K13" i="1"/>
  <c r="K14" i="1"/>
  <c r="K15" i="1"/>
  <c r="K16" i="1"/>
  <c r="K17" i="1"/>
  <c r="K19" i="1"/>
  <c r="K20" i="1"/>
  <c r="K21" i="1"/>
  <c r="K22" i="1"/>
  <c r="K23" i="1"/>
  <c r="K24" i="1"/>
  <c r="K25" i="1"/>
  <c r="K26" i="1"/>
  <c r="K27" i="1"/>
  <c r="K28" i="1"/>
  <c r="K29" i="1"/>
  <c r="K30" i="1"/>
  <c r="J2" i="1"/>
  <c r="J3" i="1"/>
  <c r="J4" i="1"/>
  <c r="J5" i="1"/>
  <c r="J6" i="1"/>
  <c r="J7" i="1"/>
  <c r="J8" i="1"/>
  <c r="K8" i="1" s="1"/>
  <c r="J9" i="1"/>
  <c r="J10" i="1"/>
  <c r="J11" i="1"/>
  <c r="J12" i="1"/>
  <c r="J13" i="1"/>
  <c r="J14" i="1"/>
  <c r="J15" i="1"/>
  <c r="J16" i="1"/>
  <c r="J17" i="1"/>
  <c r="J18" i="1"/>
  <c r="K18" i="1" s="1"/>
  <c r="J19" i="1"/>
  <c r="J20" i="1"/>
  <c r="J22" i="1"/>
  <c r="J23" i="1"/>
  <c r="J24" i="1"/>
  <c r="J25" i="1"/>
  <c r="J26" i="1"/>
  <c r="J27" i="1"/>
  <c r="J28" i="1"/>
  <c r="J29" i="1"/>
  <c r="J30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3" i="1"/>
  <c r="I24" i="1"/>
  <c r="I25" i="1"/>
  <c r="I26" i="1"/>
  <c r="I27" i="1"/>
  <c r="I28" i="1"/>
  <c r="I29" i="1"/>
  <c r="I3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</calcChain>
</file>

<file path=xl/sharedStrings.xml><?xml version="1.0" encoding="utf-8"?>
<sst xmlns="http://schemas.openxmlformats.org/spreadsheetml/2006/main" count="95" uniqueCount="53">
  <si>
    <t>Stress Level Vs City type</t>
  </si>
  <si>
    <t>Count of Student_ID</t>
  </si>
  <si>
    <t>Stress_Level</t>
  </si>
  <si>
    <t>City_Type</t>
  </si>
  <si>
    <t>High</t>
  </si>
  <si>
    <t>Low</t>
  </si>
  <si>
    <t>Medium</t>
  </si>
  <si>
    <t>Grand Total</t>
  </si>
  <si>
    <t>Rural</t>
  </si>
  <si>
    <t>Tier-1</t>
  </si>
  <si>
    <t>Tier-2</t>
  </si>
  <si>
    <t>Average of EMI_income_ratio By Stress level</t>
  </si>
  <si>
    <t>Average of EMI_Income_ratio(%)</t>
  </si>
  <si>
    <t>Average of Monthly_Income By Stress level</t>
  </si>
  <si>
    <t>Average of Monthly_income</t>
  </si>
  <si>
    <t>Student_ID</t>
  </si>
  <si>
    <t>Loan_amount</t>
  </si>
  <si>
    <t>Interest_rate(%)</t>
  </si>
  <si>
    <t>Loan_Tenure_Years</t>
  </si>
  <si>
    <t>Monthly_income</t>
  </si>
  <si>
    <t>Monthly_Expenses</t>
  </si>
  <si>
    <t>Savings</t>
  </si>
  <si>
    <t>Monthly_EMI</t>
  </si>
  <si>
    <t>EMI_Income_ratio(%)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</si>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</sst>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8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2" xfId="0" pivotButton="1" applyBorder="1"/>
    <xf numFmtId="0" fontId="0" fillId="0" borderId="2" xfId="0" applyBorder="1"/>
    <xf numFmtId="164" fontId="0" fillId="0" borderId="2" xfId="0" applyNumberFormat="1" applyBorder="1"/>
    <xf numFmtId="0" fontId="2" fillId="3" borderId="0" xfId="0" applyFont="1" applyFill="1"/>
    <xf numFmtId="0" fontId="2" fillId="4" borderId="2" xfId="0" applyFont="1" applyFill="1" applyBorder="1"/>
    <xf numFmtId="0" fontId="2" fillId="2" borderId="2" xfId="0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16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Rural</c:v>
                </c:pt>
                <c:pt idx="1">
                  <c:v>Tier-1</c:v>
                </c:pt>
                <c:pt idx="2">
                  <c:v>Tier-2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2-4C28-BF46-397879A03464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Rural</c:v>
                </c:pt>
                <c:pt idx="1">
                  <c:v>Tier-1</c:v>
                </c:pt>
                <c:pt idx="2">
                  <c:v>Tier-2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7</c:v>
                </c:pt>
                <c:pt idx="1">
                  <c:v>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12-4C28-BF46-397879A03464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Rural</c:v>
                </c:pt>
                <c:pt idx="1">
                  <c:v>Tier-1</c:v>
                </c:pt>
                <c:pt idx="2">
                  <c:v>Tier-2</c:v>
                </c:pt>
              </c:strCache>
            </c:strRef>
          </c:cat>
          <c:val>
            <c:numRef>
              <c:f>Sheet2!$D$5:$D$8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12-4C28-BF46-397879A03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16296"/>
        <c:axId val="574675976"/>
      </c:barChart>
      <c:catAx>
        <c:axId val="69516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675976"/>
        <c:crosses val="autoZero"/>
        <c:auto val="1"/>
        <c:lblAlgn val="ctr"/>
        <c:lblOffset val="100"/>
        <c:noMultiLvlLbl val="0"/>
      </c:catAx>
      <c:valAx>
        <c:axId val="57467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Sheet2!$A$16:$A$19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Sheet2!$B$16:$B$19</c:f>
              <c:numCache>
                <c:formatCode>0.0%</c:formatCode>
                <c:ptCount val="3"/>
                <c:pt idx="0">
                  <c:v>0.11454545454545455</c:v>
                </c:pt>
                <c:pt idx="1">
                  <c:v>3.2650317418464504E-2</c:v>
                </c:pt>
                <c:pt idx="2">
                  <c:v>6.3865005384304757E-2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E-4913-ABC3-8F5FC37F2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5239304"/>
        <c:axId val="725241352"/>
      </c:barChart>
      <c:catAx>
        <c:axId val="725239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241352"/>
        <c:crosses val="autoZero"/>
        <c:auto val="1"/>
        <c:lblAlgn val="ctr"/>
        <c:lblOffset val="100"/>
        <c:noMultiLvlLbl val="0"/>
      </c:catAx>
      <c:valAx>
        <c:axId val="725241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239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Sheet2!$B$26</c:f>
              <c:strCache>
                <c:ptCount val="1"/>
                <c:pt idx="0">
                  <c:v>Average of Monthly_income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Sheet2!$A$27:$A$30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Grand Total</c:v>
                </c:pt>
              </c:strCache>
            </c:strRef>
          </c:cat>
          <c:val>
            <c:numRef>
              <c:f>Sheet2!$B$27:$B$30</c:f>
              <c:numCache>
                <c:formatCode>General</c:formatCode>
                <c:ptCount val="4"/>
                <c:pt idx="0">
                  <c:v>10500</c:v>
                </c:pt>
                <c:pt idx="1">
                  <c:v>39000</c:v>
                </c:pt>
                <c:pt idx="2">
                  <c:v>19250</c:v>
                </c:pt>
                <c:pt idx="3">
                  <c:v>31586.206896551725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B-4CB2-BE23-F1E54CAF8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024839"/>
        <c:axId val="567205384"/>
      </c:barChart>
      <c:catAx>
        <c:axId val="2132024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05384"/>
        <c:crosses val="autoZero"/>
        <c:auto val="1"/>
        <c:lblAlgn val="ctr"/>
        <c:lblOffset val="100"/>
        <c:noMultiLvlLbl val="0"/>
      </c:catAx>
      <c:valAx>
        <c:axId val="56720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024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0</xdr:row>
      <xdr:rowOff>0</xdr:rowOff>
    </xdr:from>
    <xdr:to>
      <xdr:col>12</xdr:col>
      <xdr:colOff>180975</xdr:colOff>
      <xdr:row>11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BF959A-E540-7719-3C9C-136C7A56D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285750</xdr:colOff>
      <xdr:row>12</xdr:row>
      <xdr:rowOff>38100</xdr:rowOff>
    </xdr:from>
    <xdr:to>
      <xdr:col>9</xdr:col>
      <xdr:colOff>9525</xdr:colOff>
      <xdr:row>22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E299E1-D2C2-E971-4822-1BFF9CF6917B}"/>
            </a:ext>
            <a:ext uri="{147F2762-F138-4A5C-976F-8EAC2B608ADB}">
              <a16:predDERef xmlns:a16="http://schemas.microsoft.com/office/drawing/2014/main" pred="{A9BF959A-E540-7719-3C9C-136C7A56D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304800</xdr:colOff>
      <xdr:row>23</xdr:row>
      <xdr:rowOff>38100</xdr:rowOff>
    </xdr:from>
    <xdr:to>
      <xdr:col>9</xdr:col>
      <xdr:colOff>219075</xdr:colOff>
      <xdr:row>35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B8475C-8BD9-4C4D-7B0E-D4339535EFEC}"/>
            </a:ext>
            <a:ext uri="{147F2762-F138-4A5C-976F-8EAC2B608ADB}">
              <a16:predDERef xmlns:a16="http://schemas.microsoft.com/office/drawing/2014/main" pred="{DBE299E1-D2C2-E971-4822-1BFF9CF69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4.564034490744" createdVersion="8" refreshedVersion="8" minRefreshableVersion="3" recordCount="29" xr:uid="{418AAD8D-D2DF-4A8E-8601-2432AD6B171F}">
  <cacheSource type="worksheet">
    <worksheetSource ref="A1:K30" sheet="Sheet1"/>
  </cacheSource>
  <cacheFields count="11">
    <cacheField name="Student_ID" numFmtId="0">
      <sharedItems/>
    </cacheField>
    <cacheField name="Loan_amount" numFmtId="3">
      <sharedItems containsSemiMixedTypes="0" containsString="0" containsNumber="1" containsInteger="1" minValue="118000" maxValue="510000"/>
    </cacheField>
    <cacheField name="Interest_rate(%)" numFmtId="0">
      <sharedItems containsSemiMixedTypes="0" containsString="0" containsNumber="1" minValue="0.08" maxValue="0.129"/>
    </cacheField>
    <cacheField name="Loan_Tenure_Years" numFmtId="0">
      <sharedItems containsSemiMixedTypes="0" containsString="0" containsNumber="1" containsInteger="1" minValue="1" maxValue="5"/>
    </cacheField>
    <cacheField name="Monthly_income" numFmtId="0">
      <sharedItems containsSemiMixedTypes="0" containsString="0" containsNumber="1" containsInteger="1" minValue="10000" maxValue="55000"/>
    </cacheField>
    <cacheField name="Monthly_Expenses" numFmtId="0">
      <sharedItems containsSemiMixedTypes="0" containsString="0" containsNumber="1" containsInteger="1" minValue="8000" maxValue="45000"/>
    </cacheField>
    <cacheField name="City_Type" numFmtId="0">
      <sharedItems count="3">
        <s v="Tier-1"/>
        <s v="Rural"/>
        <s v="Tier-2"/>
      </sharedItems>
    </cacheField>
    <cacheField name="Savings" numFmtId="0">
      <sharedItems containsSemiMixedTypes="0" containsString="0" containsNumber="1" containsInteger="1" minValue="500" maxValue="29000"/>
    </cacheField>
    <cacheField name="Monthly_EMI" numFmtId="8">
      <sharedItems containsSemiMixedTypes="0" containsString="0" containsNumber="1" minValue="2056.2586479805832" maxValue="20852.653060385168"/>
    </cacheField>
    <cacheField name="EMI_Income_ratio(%)" numFmtId="164">
      <sharedItems containsSemiMixedTypes="0" containsString="0" containsNumber="1" minValue="2.181818181818182E-2" maxValue="0.12"/>
    </cacheField>
    <cacheField name="Stress_Level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S001"/>
    <n v="118000"/>
    <n v="8.8800000000000004E-2"/>
    <n v="2"/>
    <n v="20000"/>
    <n v="10000"/>
    <x v="0"/>
    <n v="10000"/>
    <n v="4921.2158733778961"/>
    <n v="0.06"/>
    <x v="0"/>
  </r>
  <r>
    <s v="S002"/>
    <n v="245670"/>
    <n v="0.09"/>
    <n v="3"/>
    <n v="30000"/>
    <n v="24000"/>
    <x v="1"/>
    <n v="6000"/>
    <n v="6833.6393402432495"/>
    <n v="0.04"/>
    <x v="1"/>
  </r>
  <r>
    <s v="S003"/>
    <n v="423000"/>
    <n v="0.112"/>
    <n v="4"/>
    <n v="29000"/>
    <n v="13000"/>
    <x v="0"/>
    <n v="16000"/>
    <n v="8832.6659821103603"/>
    <n v="4.1379310344827586E-2"/>
    <x v="1"/>
  </r>
  <r>
    <s v="S004"/>
    <n v="123000"/>
    <n v="0.12"/>
    <n v="5"/>
    <n v="15000"/>
    <n v="10000"/>
    <x v="0"/>
    <n v="5000"/>
    <n v="2056.2586479805832"/>
    <n v="0.08"/>
    <x v="0"/>
  </r>
  <r>
    <s v="S005"/>
    <n v="367560"/>
    <n v="9.8900000000000002E-2"/>
    <n v="3"/>
    <n v="25000"/>
    <n v="9000"/>
    <x v="1"/>
    <n v="16000"/>
    <n v="10225.574755956108"/>
    <n v="4.8000000000000001E-2"/>
    <x v="1"/>
  </r>
  <r>
    <s v="S006"/>
    <n v="256600"/>
    <n v="0.10299999999999999"/>
    <n v="2"/>
    <n v="30000"/>
    <n v="15000"/>
    <x v="2"/>
    <n v="15000"/>
    <n v="10703.141708231142"/>
    <n v="0.04"/>
    <x v="1"/>
  </r>
  <r>
    <s v="S007"/>
    <n v="500000"/>
    <n v="8.8999999999999996E-2"/>
    <n v="2"/>
    <n v="36000"/>
    <n v="35000"/>
    <x v="0"/>
    <n v="1000"/>
    <n v="20852.653060385168"/>
    <n v="3.3333333333333333E-2"/>
    <x v="1"/>
  </r>
  <r>
    <s v="S008"/>
    <n v="267000"/>
    <n v="0.1067"/>
    <n v="2"/>
    <n v="45000"/>
    <n v="20000"/>
    <x v="1"/>
    <n v="25000"/>
    <n v="11137.36918833768"/>
    <n v="2.6666666666666668E-2"/>
    <x v="1"/>
  </r>
  <r>
    <s v="S009"/>
    <n v="378000"/>
    <n v="0.128"/>
    <n v="3"/>
    <n v="35000"/>
    <n v="15000"/>
    <x v="2"/>
    <n v="20000"/>
    <n v="10520.732891753725"/>
    <n v="3.4285714285714287E-2"/>
    <x v="1"/>
  </r>
  <r>
    <s v="S010"/>
    <n v="456000"/>
    <n v="9.9900000000000003E-2"/>
    <n v="4"/>
    <n v="55000"/>
    <n v="26000"/>
    <x v="2"/>
    <n v="29000"/>
    <n v="9519.389072830003"/>
    <n v="2.181818181818182E-2"/>
    <x v="1"/>
  </r>
  <r>
    <s v="S011"/>
    <n v="178400"/>
    <n v="0.08"/>
    <n v="1"/>
    <n v="17000"/>
    <n v="8000"/>
    <x v="0"/>
    <n v="9000"/>
    <n v="14873.109676245353"/>
    <n v="7.0588235294117646E-2"/>
    <x v="0"/>
  </r>
  <r>
    <s v="S012"/>
    <n v="348000"/>
    <n v="0.11700000000000001"/>
    <n v="3"/>
    <n v="54000"/>
    <n v="34000"/>
    <x v="2"/>
    <n v="20000"/>
    <n v="9684.1128330484007"/>
    <n v="2.2222222222222223E-2"/>
    <x v="1"/>
  </r>
  <r>
    <s v="S013"/>
    <n v="290000"/>
    <n v="9.7000000000000003E-2"/>
    <n v="2"/>
    <n v="32000"/>
    <n v="22000"/>
    <x v="2"/>
    <n v="10000"/>
    <n v="12095.546317725799"/>
    <n v="3.7499999999999999E-2"/>
    <x v="1"/>
  </r>
  <r>
    <s v="S014"/>
    <n v="467350"/>
    <n v="8.6499999999999994E-2"/>
    <n v="4"/>
    <n v="45000"/>
    <n v="23000"/>
    <x v="0"/>
    <n v="22000"/>
    <n v="9753.6630332833975"/>
    <n v="2.6666666666666668E-2"/>
    <x v="1"/>
  </r>
  <r>
    <s v="S015"/>
    <n v="256000"/>
    <n v="0.121"/>
    <n v="2"/>
    <n v="19000"/>
    <n v="10000"/>
    <x v="1"/>
    <n v="9000"/>
    <n v="10680.116307499857"/>
    <n v="6.3157894736842107E-2"/>
    <x v="0"/>
  </r>
  <r>
    <s v="S016"/>
    <n v="345000"/>
    <n v="0.10100000000000001"/>
    <n v="3"/>
    <n v="20000"/>
    <n v="8500"/>
    <x v="1"/>
    <n v="11500"/>
    <n v="9598.2627079463909"/>
    <n v="0.06"/>
    <x v="0"/>
  </r>
  <r>
    <s v="S017"/>
    <n v="510000"/>
    <n v="0.11"/>
    <n v="5"/>
    <n v="10000"/>
    <n v="9500"/>
    <x v="2"/>
    <n v="500"/>
    <n v="8523.7860034721562"/>
    <n v="0.12"/>
    <x v="2"/>
  </r>
  <r>
    <s v="S018"/>
    <n v="289340"/>
    <n v="0.129"/>
    <n v="2"/>
    <n v="34000"/>
    <n v="23800"/>
    <x v="2"/>
    <n v="10200"/>
    <n v="12072.040034776192"/>
    <n v="3.5294117647058823E-2"/>
    <x v="1"/>
  </r>
  <r>
    <s v="S019"/>
    <n v="387000"/>
    <n v="8.6999999999999994E-2"/>
    <n v="3"/>
    <n v="41000"/>
    <n v="35300"/>
    <x v="0"/>
    <n v="5700"/>
    <n v="10764.424535075799"/>
    <n v="2.9268292682926828E-2"/>
    <x v="1"/>
  </r>
  <r>
    <s v="S020"/>
    <n v="190000"/>
    <n v="9.1200000000000003E-2"/>
    <n v="2"/>
    <n v="11000"/>
    <n v="10000"/>
    <x v="1"/>
    <n v="1000"/>
    <n v="7924.1896909860661"/>
    <n v="0.1090909090909091"/>
    <x v="2"/>
  </r>
  <r>
    <s v="S021"/>
    <n v="415600"/>
    <n v="0.08"/>
    <n v="4"/>
    <n v="36000"/>
    <n v="23900"/>
    <x v="1"/>
    <n v="12100"/>
    <n v="8672.4826627680086"/>
    <n v="3.3333333333333333E-2"/>
    <x v="1"/>
  </r>
  <r>
    <s v="S022"/>
    <n v="378000"/>
    <n v="0.10100000000000001"/>
    <n v="3"/>
    <n v="47000"/>
    <n v="34800"/>
    <x v="2"/>
    <n v="12200"/>
    <n v="10516.35740174996"/>
    <n v="2.553191489361702E-2"/>
    <x v="1"/>
  </r>
  <r>
    <s v="S023"/>
    <n v="398000"/>
    <n v="8.8999999999999996E-2"/>
    <n v="3"/>
    <n v="42000"/>
    <n v="35600"/>
    <x v="1"/>
    <n v="6400"/>
    <n v="11070.731261591336"/>
    <n v="2.8571428571428574E-2"/>
    <x v="1"/>
  </r>
  <r>
    <s v="S024"/>
    <n v="346790"/>
    <n v="0.12"/>
    <n v="3"/>
    <n v="45000"/>
    <n v="35200"/>
    <x v="0"/>
    <n v="9800"/>
    <n v="9650.8871034837921"/>
    <n v="2.6666666666666668E-2"/>
    <x v="1"/>
  </r>
  <r>
    <s v="S025"/>
    <n v="290654"/>
    <n v="0.11700000000000001"/>
    <n v="2"/>
    <n v="25000"/>
    <n v="15400"/>
    <x v="1"/>
    <n v="9600"/>
    <n v="12125.34862296674"/>
    <n v="4.8000000000000001E-2"/>
    <x v="1"/>
  </r>
  <r>
    <s v="S026"/>
    <n v="208567"/>
    <n v="0.1208"/>
    <n v="2"/>
    <n v="24000"/>
    <n v="10000"/>
    <x v="2"/>
    <n v="14000"/>
    <n v="8701.2311699388974"/>
    <n v="0.05"/>
    <x v="0"/>
  </r>
  <r>
    <s v="S027"/>
    <n v="189453"/>
    <n v="0.09"/>
    <n v="2"/>
    <n v="16000"/>
    <n v="10500"/>
    <x v="1"/>
    <n v="5500"/>
    <n v="7901.2776353785976"/>
    <n v="7.4999999999999997E-2"/>
    <x v="0"/>
  </r>
  <r>
    <s v="S028"/>
    <n v="486380"/>
    <n v="0.10780000000000001"/>
    <n v="5"/>
    <n v="55000"/>
    <n v="45000"/>
    <x v="1"/>
    <n v="10000"/>
    <n v="8128.5636302971989"/>
    <n v="2.181818181818182E-2"/>
    <x v="1"/>
  </r>
  <r>
    <s v="S029"/>
    <n v="208492"/>
    <n v="0.11"/>
    <n v="3"/>
    <n v="23000"/>
    <n v="15000"/>
    <x v="0"/>
    <n v="8000"/>
    <n v="5801.2710204203213"/>
    <n v="5.2173913043478258E-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A3F08-2D11-4A9E-BDD5-B0F9036C506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5:B19" firstHeaderRow="1" firstDataRow="1" firstDataCol="1"/>
  <pivotFields count="11">
    <pivotField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dataField="1" compact="0" numFmtId="164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MI_Income_ratio(%)" fld="9" subtotal="average" baseField="0" baseItem="0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0" type="button" dataOnly="0" labelOnly="1" outline="0" axis="axisRow" fieldPosition="0"/>
    </format>
    <format dxfId="2">
      <pivotArea dataOnly="0" labelOnly="1" outline="0" fieldPosition="0">
        <references count="1">
          <reference field="1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B4AB7-6653-4075-99D2-30E1ACCE15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" firstHeaderRow="1" firstDataRow="2" firstDataCol="1"/>
  <pivotFields count="11">
    <pivotField dataField="1"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numFmtId="8" outline="0" showAll="0"/>
    <pivotField compact="0" numFmtId="164" outline="0" showAll="0"/>
    <pivotField axis="axisCol" compact="0" outline="0" showAll="0">
      <items count="4">
        <item x="2"/>
        <item x="1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Student_ID" fld="0" subtotal="count" baseField="0" baseItem="0"/>
  </dataFields>
  <formats count="10"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10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6" type="button" dataOnly="0" labelOnly="1" outline="0" axis="axisRow" fieldPosition="0"/>
    </format>
    <format dxfId="9">
      <pivotArea dataOnly="0" labelOnly="1" outline="0" fieldPosition="0">
        <references count="1">
          <reference field="6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10" count="0"/>
        </references>
      </pivotArea>
    </format>
    <format dxfId="6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16E2-0FC6-46B0-A58D-56982A11E17A}">
  <dimension ref="A1:J30"/>
  <sheetViews>
    <sheetView tabSelected="1" workbookViewId="0">
      <selection activeCell="J30" sqref="J30"/>
    </sheetView>
  </sheetViews>
  <sheetFormatPr defaultRowHeight="14.4" x14ac:dyDescent="0.3"/>
  <cols>
    <col min="1" max="1" width="19" bestFit="1" customWidth="1"/>
    <col min="2" max="2" width="29.6640625" customWidth="1"/>
    <col min="3" max="3" width="13.6640625" customWidth="1"/>
    <col min="4" max="4" width="8.44140625" bestFit="1" customWidth="1"/>
    <col min="5" max="5" width="11.44140625" bestFit="1" customWidth="1"/>
    <col min="10" max="10" width="12.44140625" customWidth="1"/>
  </cols>
  <sheetData>
    <row r="1" spans="1:10" x14ac:dyDescent="0.3">
      <c r="A1" s="14" t="s">
        <v>0</v>
      </c>
      <c r="B1" s="14"/>
      <c r="C1" s="14"/>
      <c r="D1" s="14"/>
      <c r="E1" s="14"/>
      <c r="I1" s="12"/>
      <c r="J1" s="12"/>
    </row>
    <row r="3" spans="1:10" x14ac:dyDescent="0.3">
      <c r="A3" s="9" t="s">
        <v>1</v>
      </c>
      <c r="B3" s="9" t="s">
        <v>2</v>
      </c>
      <c r="C3" s="10"/>
      <c r="D3" s="10"/>
      <c r="E3" s="10"/>
    </row>
    <row r="4" spans="1:10" x14ac:dyDescent="0.3">
      <c r="A4" s="9" t="s">
        <v>3</v>
      </c>
      <c r="B4" s="10" t="s">
        <v>4</v>
      </c>
      <c r="C4" s="10" t="s">
        <v>5</v>
      </c>
      <c r="D4" s="10" t="s">
        <v>6</v>
      </c>
      <c r="E4" s="10" t="s">
        <v>7</v>
      </c>
    </row>
    <row r="5" spans="1:10" x14ac:dyDescent="0.3">
      <c r="A5" s="10" t="s">
        <v>8</v>
      </c>
      <c r="B5" s="10">
        <v>1</v>
      </c>
      <c r="C5" s="10">
        <v>7</v>
      </c>
      <c r="D5" s="10">
        <v>3</v>
      </c>
      <c r="E5" s="10">
        <v>11</v>
      </c>
    </row>
    <row r="6" spans="1:10" x14ac:dyDescent="0.3">
      <c r="A6" s="10" t="s">
        <v>9</v>
      </c>
      <c r="B6" s="10"/>
      <c r="C6" s="10">
        <v>5</v>
      </c>
      <c r="D6" s="10">
        <v>4</v>
      </c>
      <c r="E6" s="10">
        <v>9</v>
      </c>
    </row>
    <row r="7" spans="1:10" x14ac:dyDescent="0.3">
      <c r="A7" s="10" t="s">
        <v>10</v>
      </c>
      <c r="B7" s="10">
        <v>1</v>
      </c>
      <c r="C7" s="10">
        <v>7</v>
      </c>
      <c r="D7" s="10">
        <v>1</v>
      </c>
      <c r="E7" s="10">
        <v>9</v>
      </c>
    </row>
    <row r="8" spans="1:10" x14ac:dyDescent="0.3">
      <c r="A8" s="10" t="s">
        <v>7</v>
      </c>
      <c r="B8" s="10">
        <v>2</v>
      </c>
      <c r="C8" s="10">
        <v>19</v>
      </c>
      <c r="D8" s="10">
        <v>8</v>
      </c>
      <c r="E8" s="10">
        <v>29</v>
      </c>
    </row>
    <row r="13" spans="1:10" x14ac:dyDescent="0.3">
      <c r="A13" s="14" t="s">
        <v>11</v>
      </c>
      <c r="B13" s="14"/>
    </row>
    <row r="15" spans="1:10" x14ac:dyDescent="0.3">
      <c r="A15" s="9" t="s">
        <v>2</v>
      </c>
      <c r="B15" s="10" t="s">
        <v>12</v>
      </c>
    </row>
    <row r="16" spans="1:10" x14ac:dyDescent="0.3">
      <c r="A16" s="10" t="s">
        <v>4</v>
      </c>
      <c r="B16" s="11">
        <v>0.11454545454545455</v>
      </c>
    </row>
    <row r="17" spans="1:2" x14ac:dyDescent="0.3">
      <c r="A17" s="10" t="s">
        <v>5</v>
      </c>
      <c r="B17" s="11">
        <v>3.2650317418464504E-2</v>
      </c>
    </row>
    <row r="18" spans="1:2" x14ac:dyDescent="0.3">
      <c r="A18" s="10" t="s">
        <v>6</v>
      </c>
      <c r="B18" s="11">
        <v>6.3865005384304757E-2</v>
      </c>
    </row>
    <row r="19" spans="1:2" x14ac:dyDescent="0.3">
      <c r="A19" s="10" t="s">
        <v>7</v>
      </c>
      <c r="B19" s="11">
        <v>4.690920631435079E-2</v>
      </c>
    </row>
    <row r="24" spans="1:2" x14ac:dyDescent="0.3">
      <c r="A24" s="14" t="s">
        <v>13</v>
      </c>
      <c r="B24" s="14"/>
    </row>
    <row r="26" spans="1:2" x14ac:dyDescent="0.3">
      <c r="A26" s="13" t="s">
        <v>2</v>
      </c>
      <c r="B26" s="13" t="s">
        <v>14</v>
      </c>
    </row>
    <row r="27" spans="1:2" x14ac:dyDescent="0.3">
      <c r="A27" s="10" t="s">
        <v>4</v>
      </c>
      <c r="B27" s="10">
        <v>10500</v>
      </c>
    </row>
    <row r="28" spans="1:2" x14ac:dyDescent="0.3">
      <c r="A28" s="10" t="s">
        <v>5</v>
      </c>
      <c r="B28" s="10">
        <v>39000</v>
      </c>
    </row>
    <row r="29" spans="1:2" x14ac:dyDescent="0.3">
      <c r="A29" s="10" t="s">
        <v>6</v>
      </c>
      <c r="B29" s="10">
        <v>19250</v>
      </c>
    </row>
    <row r="30" spans="1:2" x14ac:dyDescent="0.3">
      <c r="A30" s="13" t="s">
        <v>7</v>
      </c>
      <c r="B30" s="13">
        <v>31586.206896551725</v>
      </c>
    </row>
  </sheetData>
  <mergeCells count="3">
    <mergeCell ref="A1:E1"/>
    <mergeCell ref="A13:B13"/>
    <mergeCell ref="A24:B24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zoomScale="80" zoomScaleNormal="80" workbookViewId="0">
      <selection activeCell="C10" sqref="C10"/>
    </sheetView>
  </sheetViews>
  <sheetFormatPr defaultRowHeight="14.4" x14ac:dyDescent="0.3"/>
  <cols>
    <col min="1" max="1" width="14" customWidth="1"/>
    <col min="2" max="2" width="14.6640625" customWidth="1"/>
    <col min="3" max="3" width="16.88671875" customWidth="1"/>
    <col min="4" max="4" width="19.44140625" customWidth="1"/>
    <col min="5" max="5" width="19.33203125" customWidth="1"/>
    <col min="6" max="6" width="18.44140625" customWidth="1"/>
    <col min="7" max="7" width="12.44140625" customWidth="1"/>
    <col min="8" max="8" width="11" customWidth="1"/>
    <col min="9" max="9" width="16" customWidth="1"/>
    <col min="10" max="10" width="21.33203125" customWidth="1"/>
    <col min="11" max="11" width="12.6640625" customWidth="1"/>
  </cols>
  <sheetData>
    <row r="1" spans="1:11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3</v>
      </c>
      <c r="H1" s="1" t="s">
        <v>21</v>
      </c>
      <c r="I1" s="1" t="s">
        <v>22</v>
      </c>
      <c r="J1" s="1" t="s">
        <v>23</v>
      </c>
      <c r="K1" s="1" t="s">
        <v>2</v>
      </c>
    </row>
    <row r="2" spans="1:11" x14ac:dyDescent="0.3">
      <c r="A2" s="2" t="s">
        <v>24</v>
      </c>
      <c r="B2" s="3">
        <v>118000</v>
      </c>
      <c r="C2" s="4">
        <v>8.8800000000000004E-2</v>
      </c>
      <c r="D2" s="2">
        <v>2</v>
      </c>
      <c r="E2" s="2">
        <v>20000</v>
      </c>
      <c r="F2" s="2">
        <v>10000</v>
      </c>
      <c r="G2" s="2" t="s">
        <v>9</v>
      </c>
      <c r="H2" s="6">
        <f>E2-F2</f>
        <v>10000</v>
      </c>
      <c r="I2" s="7">
        <f>ABS(PMT(C2/100/12,D2*12,B2))</f>
        <v>4921.2158733778961</v>
      </c>
      <c r="J2" s="8">
        <f>(12/E2)*100</f>
        <v>0.06</v>
      </c>
      <c r="K2" s="6" t="str">
        <f>IF(J2&lt;0.05,"Low",IF(J2&lt;0.1,"Medium","High"))</f>
        <v>Medium</v>
      </c>
    </row>
    <row r="3" spans="1:11" x14ac:dyDescent="0.3">
      <c r="A3" s="2" t="s">
        <v>25</v>
      </c>
      <c r="B3" s="3">
        <v>245670</v>
      </c>
      <c r="C3" s="5">
        <v>0.09</v>
      </c>
      <c r="D3" s="2">
        <v>3</v>
      </c>
      <c r="E3" s="2">
        <v>30000</v>
      </c>
      <c r="F3" s="2">
        <v>24000</v>
      </c>
      <c r="G3" s="2" t="s">
        <v>8</v>
      </c>
      <c r="H3" s="6">
        <f t="shared" ref="H3:H30" si="0">E3-F3</f>
        <v>6000</v>
      </c>
      <c r="I3" s="7">
        <f t="shared" ref="I3:I30" si="1">ABS(PMT(C3/100/12,D3*12,B3))</f>
        <v>6833.6393402432495</v>
      </c>
      <c r="J3" s="8">
        <f t="shared" ref="J3:J30" si="2">(12/E3)*100</f>
        <v>0.04</v>
      </c>
      <c r="K3" s="6" t="str">
        <f t="shared" ref="K3:K30" si="3">IF(J3&lt;0.05,"Low",IF(J3&lt;0.1,"Medium","High"))</f>
        <v>Low</v>
      </c>
    </row>
    <row r="4" spans="1:11" x14ac:dyDescent="0.3">
      <c r="A4" s="2" t="s">
        <v>26</v>
      </c>
      <c r="B4" s="3">
        <v>423000</v>
      </c>
      <c r="C4" s="4">
        <v>0.112</v>
      </c>
      <c r="D4" s="2">
        <v>4</v>
      </c>
      <c r="E4" s="2">
        <v>29000</v>
      </c>
      <c r="F4" s="2">
        <v>13000</v>
      </c>
      <c r="G4" s="2" t="s">
        <v>9</v>
      </c>
      <c r="H4" s="6">
        <f t="shared" si="0"/>
        <v>16000</v>
      </c>
      <c r="I4" s="7">
        <f t="shared" si="1"/>
        <v>8832.6659821103603</v>
      </c>
      <c r="J4" s="8">
        <f t="shared" si="2"/>
        <v>4.1379310344827586E-2</v>
      </c>
      <c r="K4" s="6" t="str">
        <f t="shared" si="3"/>
        <v>Low</v>
      </c>
    </row>
    <row r="5" spans="1:11" x14ac:dyDescent="0.3">
      <c r="A5" s="2" t="s">
        <v>27</v>
      </c>
      <c r="B5" s="3">
        <v>123000</v>
      </c>
      <c r="C5" s="5">
        <v>0.12</v>
      </c>
      <c r="D5" s="2">
        <v>5</v>
      </c>
      <c r="E5" s="2">
        <v>15000</v>
      </c>
      <c r="F5" s="2">
        <v>10000</v>
      </c>
      <c r="G5" s="2" t="s">
        <v>9</v>
      </c>
      <c r="H5" s="6">
        <f t="shared" si="0"/>
        <v>5000</v>
      </c>
      <c r="I5" s="7">
        <f t="shared" si="1"/>
        <v>2056.2586479805832</v>
      </c>
      <c r="J5" s="8">
        <f t="shared" si="2"/>
        <v>0.08</v>
      </c>
      <c r="K5" s="6" t="str">
        <f t="shared" si="3"/>
        <v>Medium</v>
      </c>
    </row>
    <row r="6" spans="1:11" x14ac:dyDescent="0.3">
      <c r="A6" s="2" t="s">
        <v>28</v>
      </c>
      <c r="B6" s="3">
        <v>367560</v>
      </c>
      <c r="C6" s="4">
        <v>9.8900000000000002E-2</v>
      </c>
      <c r="D6" s="2">
        <v>3</v>
      </c>
      <c r="E6" s="2">
        <v>25000</v>
      </c>
      <c r="F6" s="2">
        <v>9000</v>
      </c>
      <c r="G6" s="2" t="s">
        <v>8</v>
      </c>
      <c r="H6" s="6">
        <f t="shared" si="0"/>
        <v>16000</v>
      </c>
      <c r="I6" s="7">
        <f t="shared" si="1"/>
        <v>10225.574755956108</v>
      </c>
      <c r="J6" s="8">
        <f t="shared" si="2"/>
        <v>4.8000000000000001E-2</v>
      </c>
      <c r="K6" s="6" t="str">
        <f t="shared" si="3"/>
        <v>Low</v>
      </c>
    </row>
    <row r="7" spans="1:11" x14ac:dyDescent="0.3">
      <c r="A7" s="2" t="s">
        <v>29</v>
      </c>
      <c r="B7" s="3">
        <v>256600</v>
      </c>
      <c r="C7" s="4">
        <v>0.10299999999999999</v>
      </c>
      <c r="D7" s="2">
        <v>2</v>
      </c>
      <c r="E7" s="2">
        <v>30000</v>
      </c>
      <c r="F7" s="2">
        <v>15000</v>
      </c>
      <c r="G7" s="2" t="s">
        <v>10</v>
      </c>
      <c r="H7" s="6">
        <f t="shared" si="0"/>
        <v>15000</v>
      </c>
      <c r="I7" s="7">
        <f t="shared" si="1"/>
        <v>10703.141708231142</v>
      </c>
      <c r="J7" s="8">
        <f t="shared" si="2"/>
        <v>0.04</v>
      </c>
      <c r="K7" s="6" t="str">
        <f t="shared" si="3"/>
        <v>Low</v>
      </c>
    </row>
    <row r="8" spans="1:11" x14ac:dyDescent="0.3">
      <c r="A8" s="2" t="s">
        <v>30</v>
      </c>
      <c r="B8" s="3">
        <v>500000</v>
      </c>
      <c r="C8" s="4">
        <v>8.8999999999999996E-2</v>
      </c>
      <c r="D8" s="2">
        <v>2</v>
      </c>
      <c r="E8" s="2">
        <v>36000</v>
      </c>
      <c r="F8" s="2">
        <v>35000</v>
      </c>
      <c r="G8" s="2" t="s">
        <v>9</v>
      </c>
      <c r="H8" s="6">
        <f t="shared" si="0"/>
        <v>1000</v>
      </c>
      <c r="I8" s="7">
        <f t="shared" si="1"/>
        <v>20852.653060385168</v>
      </c>
      <c r="J8" s="8">
        <f t="shared" si="2"/>
        <v>3.3333333333333333E-2</v>
      </c>
      <c r="K8" s="6" t="str">
        <f t="shared" si="3"/>
        <v>Low</v>
      </c>
    </row>
    <row r="9" spans="1:11" x14ac:dyDescent="0.3">
      <c r="A9" s="2" t="s">
        <v>31</v>
      </c>
      <c r="B9" s="3">
        <v>267000</v>
      </c>
      <c r="C9" s="4">
        <v>0.1067</v>
      </c>
      <c r="D9" s="2">
        <v>2</v>
      </c>
      <c r="E9" s="2">
        <v>45000</v>
      </c>
      <c r="F9" s="2">
        <v>20000</v>
      </c>
      <c r="G9" s="2" t="s">
        <v>8</v>
      </c>
      <c r="H9" s="6">
        <f t="shared" si="0"/>
        <v>25000</v>
      </c>
      <c r="I9" s="7">
        <f t="shared" si="1"/>
        <v>11137.36918833768</v>
      </c>
      <c r="J9" s="8">
        <f t="shared" si="2"/>
        <v>2.6666666666666668E-2</v>
      </c>
      <c r="K9" s="6" t="str">
        <f t="shared" si="3"/>
        <v>Low</v>
      </c>
    </row>
    <row r="10" spans="1:11" x14ac:dyDescent="0.3">
      <c r="A10" s="2" t="s">
        <v>32</v>
      </c>
      <c r="B10" s="3">
        <v>378000</v>
      </c>
      <c r="C10" s="4">
        <v>0.128</v>
      </c>
      <c r="D10" s="2">
        <v>3</v>
      </c>
      <c r="E10" s="2">
        <v>35000</v>
      </c>
      <c r="F10" s="2">
        <v>15000</v>
      </c>
      <c r="G10" s="2" t="s">
        <v>10</v>
      </c>
      <c r="H10" s="6">
        <f t="shared" si="0"/>
        <v>20000</v>
      </c>
      <c r="I10" s="7">
        <f t="shared" si="1"/>
        <v>10520.732891753725</v>
      </c>
      <c r="J10" s="8">
        <f t="shared" si="2"/>
        <v>3.4285714285714287E-2</v>
      </c>
      <c r="K10" s="6" t="str">
        <f t="shared" si="3"/>
        <v>Low</v>
      </c>
    </row>
    <row r="11" spans="1:11" x14ac:dyDescent="0.3">
      <c r="A11" s="2" t="s">
        <v>33</v>
      </c>
      <c r="B11" s="3">
        <v>456000</v>
      </c>
      <c r="C11" s="4">
        <v>9.9900000000000003E-2</v>
      </c>
      <c r="D11" s="2">
        <v>4</v>
      </c>
      <c r="E11" s="2">
        <v>55000</v>
      </c>
      <c r="F11" s="2">
        <v>26000</v>
      </c>
      <c r="G11" s="2" t="s">
        <v>10</v>
      </c>
      <c r="H11" s="6">
        <f t="shared" si="0"/>
        <v>29000</v>
      </c>
      <c r="I11" s="7">
        <f t="shared" si="1"/>
        <v>9519.389072830003</v>
      </c>
      <c r="J11" s="8">
        <f t="shared" si="2"/>
        <v>2.181818181818182E-2</v>
      </c>
      <c r="K11" s="6" t="str">
        <f t="shared" si="3"/>
        <v>Low</v>
      </c>
    </row>
    <row r="12" spans="1:11" x14ac:dyDescent="0.3">
      <c r="A12" s="2" t="s">
        <v>34</v>
      </c>
      <c r="B12" s="3">
        <v>178400</v>
      </c>
      <c r="C12" s="5">
        <v>0.08</v>
      </c>
      <c r="D12" s="2">
        <v>1</v>
      </c>
      <c r="E12" s="2">
        <v>17000</v>
      </c>
      <c r="F12" s="2">
        <v>8000</v>
      </c>
      <c r="G12" s="2" t="s">
        <v>9</v>
      </c>
      <c r="H12" s="6">
        <f t="shared" si="0"/>
        <v>9000</v>
      </c>
      <c r="I12" s="7">
        <f t="shared" si="1"/>
        <v>14873.109676245353</v>
      </c>
      <c r="J12" s="8">
        <f t="shared" si="2"/>
        <v>7.0588235294117646E-2</v>
      </c>
      <c r="K12" s="6" t="str">
        <f t="shared" si="3"/>
        <v>Medium</v>
      </c>
    </row>
    <row r="13" spans="1:11" x14ac:dyDescent="0.3">
      <c r="A13" s="2" t="s">
        <v>35</v>
      </c>
      <c r="B13" s="3">
        <v>348000</v>
      </c>
      <c r="C13" s="4">
        <v>0.11700000000000001</v>
      </c>
      <c r="D13" s="2">
        <v>3</v>
      </c>
      <c r="E13" s="2">
        <v>54000</v>
      </c>
      <c r="F13" s="2">
        <v>34000</v>
      </c>
      <c r="G13" s="2" t="s">
        <v>10</v>
      </c>
      <c r="H13" s="6">
        <f t="shared" si="0"/>
        <v>20000</v>
      </c>
      <c r="I13" s="7">
        <f t="shared" si="1"/>
        <v>9684.1128330484007</v>
      </c>
      <c r="J13" s="8">
        <f t="shared" si="2"/>
        <v>2.2222222222222223E-2</v>
      </c>
      <c r="K13" s="6" t="str">
        <f t="shared" si="3"/>
        <v>Low</v>
      </c>
    </row>
    <row r="14" spans="1:11" x14ac:dyDescent="0.3">
      <c r="A14" s="2" t="s">
        <v>36</v>
      </c>
      <c r="B14" s="3">
        <v>290000</v>
      </c>
      <c r="C14" s="4">
        <v>9.7000000000000003E-2</v>
      </c>
      <c r="D14" s="2">
        <v>2</v>
      </c>
      <c r="E14" s="2">
        <v>32000</v>
      </c>
      <c r="F14" s="2">
        <v>22000</v>
      </c>
      <c r="G14" s="2" t="s">
        <v>10</v>
      </c>
      <c r="H14" s="6">
        <f t="shared" si="0"/>
        <v>10000</v>
      </c>
      <c r="I14" s="7">
        <f t="shared" si="1"/>
        <v>12095.546317725799</v>
      </c>
      <c r="J14" s="8">
        <f t="shared" si="2"/>
        <v>3.7499999999999999E-2</v>
      </c>
      <c r="K14" s="6" t="str">
        <f t="shared" si="3"/>
        <v>Low</v>
      </c>
    </row>
    <row r="15" spans="1:11" x14ac:dyDescent="0.3">
      <c r="A15" s="2" t="s">
        <v>37</v>
      </c>
      <c r="B15" s="3">
        <v>467350</v>
      </c>
      <c r="C15" s="4">
        <v>8.6499999999999994E-2</v>
      </c>
      <c r="D15" s="2">
        <v>4</v>
      </c>
      <c r="E15" s="2">
        <v>45000</v>
      </c>
      <c r="F15" s="2">
        <v>23000</v>
      </c>
      <c r="G15" s="2" t="s">
        <v>9</v>
      </c>
      <c r="H15" s="6">
        <f t="shared" si="0"/>
        <v>22000</v>
      </c>
      <c r="I15" s="7">
        <f t="shared" si="1"/>
        <v>9753.6630332833975</v>
      </c>
      <c r="J15" s="8">
        <f t="shared" si="2"/>
        <v>2.6666666666666668E-2</v>
      </c>
      <c r="K15" s="6" t="str">
        <f t="shared" si="3"/>
        <v>Low</v>
      </c>
    </row>
    <row r="16" spans="1:11" x14ac:dyDescent="0.3">
      <c r="A16" s="2" t="s">
        <v>38</v>
      </c>
      <c r="B16" s="3">
        <v>256000</v>
      </c>
      <c r="C16" s="4">
        <v>0.121</v>
      </c>
      <c r="D16" s="2">
        <v>2</v>
      </c>
      <c r="E16" s="2">
        <v>19000</v>
      </c>
      <c r="F16" s="2">
        <v>10000</v>
      </c>
      <c r="G16" s="2" t="s">
        <v>8</v>
      </c>
      <c r="H16" s="6">
        <f t="shared" si="0"/>
        <v>9000</v>
      </c>
      <c r="I16" s="7">
        <f t="shared" si="1"/>
        <v>10680.116307499857</v>
      </c>
      <c r="J16" s="8">
        <f t="shared" si="2"/>
        <v>6.3157894736842107E-2</v>
      </c>
      <c r="K16" s="6" t="str">
        <f t="shared" si="3"/>
        <v>Medium</v>
      </c>
    </row>
    <row r="17" spans="1:11" x14ac:dyDescent="0.3">
      <c r="A17" s="2" t="s">
        <v>39</v>
      </c>
      <c r="B17" s="3">
        <v>345000</v>
      </c>
      <c r="C17" s="4">
        <v>0.10100000000000001</v>
      </c>
      <c r="D17" s="2">
        <v>3</v>
      </c>
      <c r="E17" s="2">
        <v>20000</v>
      </c>
      <c r="F17" s="2">
        <v>8500</v>
      </c>
      <c r="G17" s="2" t="s">
        <v>8</v>
      </c>
      <c r="H17" s="6">
        <f t="shared" si="0"/>
        <v>11500</v>
      </c>
      <c r="I17" s="7">
        <f t="shared" si="1"/>
        <v>9598.2627079463909</v>
      </c>
      <c r="J17" s="8">
        <f t="shared" si="2"/>
        <v>0.06</v>
      </c>
      <c r="K17" s="6" t="str">
        <f t="shared" si="3"/>
        <v>Medium</v>
      </c>
    </row>
    <row r="18" spans="1:11" x14ac:dyDescent="0.3">
      <c r="A18" s="2" t="s">
        <v>40</v>
      </c>
      <c r="B18" s="3">
        <v>510000</v>
      </c>
      <c r="C18" s="5">
        <v>0.11</v>
      </c>
      <c r="D18" s="2">
        <v>5</v>
      </c>
      <c r="E18" s="2">
        <v>10000</v>
      </c>
      <c r="F18" s="2">
        <v>9500</v>
      </c>
      <c r="G18" s="2" t="s">
        <v>10</v>
      </c>
      <c r="H18" s="6">
        <f t="shared" si="0"/>
        <v>500</v>
      </c>
      <c r="I18" s="7">
        <f t="shared" si="1"/>
        <v>8523.7860034721562</v>
      </c>
      <c r="J18" s="8">
        <f t="shared" si="2"/>
        <v>0.12</v>
      </c>
      <c r="K18" s="6" t="str">
        <f t="shared" si="3"/>
        <v>High</v>
      </c>
    </row>
    <row r="19" spans="1:11" x14ac:dyDescent="0.3">
      <c r="A19" s="2" t="s">
        <v>41</v>
      </c>
      <c r="B19" s="3">
        <v>289340</v>
      </c>
      <c r="C19" s="4">
        <v>0.129</v>
      </c>
      <c r="D19" s="2">
        <v>2</v>
      </c>
      <c r="E19" s="2">
        <v>34000</v>
      </c>
      <c r="F19" s="2">
        <v>23800</v>
      </c>
      <c r="G19" s="2" t="s">
        <v>10</v>
      </c>
      <c r="H19" s="6">
        <f t="shared" si="0"/>
        <v>10200</v>
      </c>
      <c r="I19" s="7">
        <f t="shared" si="1"/>
        <v>12072.040034776192</v>
      </c>
      <c r="J19" s="8">
        <f t="shared" si="2"/>
        <v>3.5294117647058823E-2</v>
      </c>
      <c r="K19" s="6" t="str">
        <f t="shared" si="3"/>
        <v>Low</v>
      </c>
    </row>
    <row r="20" spans="1:11" x14ac:dyDescent="0.3">
      <c r="A20" s="2" t="s">
        <v>42</v>
      </c>
      <c r="B20" s="3">
        <v>387000</v>
      </c>
      <c r="C20" s="4">
        <v>8.6999999999999994E-2</v>
      </c>
      <c r="D20" s="2">
        <v>3</v>
      </c>
      <c r="E20" s="2">
        <v>41000</v>
      </c>
      <c r="F20" s="2">
        <v>35300</v>
      </c>
      <c r="G20" s="2" t="s">
        <v>9</v>
      </c>
      <c r="H20" s="6">
        <f t="shared" si="0"/>
        <v>5700</v>
      </c>
      <c r="I20" s="7">
        <f t="shared" si="1"/>
        <v>10764.424535075799</v>
      </c>
      <c r="J20" s="8">
        <f t="shared" si="2"/>
        <v>2.9268292682926828E-2</v>
      </c>
      <c r="K20" s="6" t="str">
        <f t="shared" si="3"/>
        <v>Low</v>
      </c>
    </row>
    <row r="21" spans="1:11" x14ac:dyDescent="0.3">
      <c r="A21" s="2" t="s">
        <v>43</v>
      </c>
      <c r="B21" s="3">
        <v>190000</v>
      </c>
      <c r="C21" s="4">
        <v>9.1200000000000003E-2</v>
      </c>
      <c r="D21" s="2">
        <v>2</v>
      </c>
      <c r="E21" s="2">
        <v>11000</v>
      </c>
      <c r="F21" s="2">
        <v>10000</v>
      </c>
      <c r="G21" s="2" t="s">
        <v>8</v>
      </c>
      <c r="H21" s="6">
        <f t="shared" si="0"/>
        <v>1000</v>
      </c>
      <c r="I21" s="7">
        <f>ABS(PMT(C21/100/12,D21*12,B21))</f>
        <v>7924.1896909860661</v>
      </c>
      <c r="J21" s="8">
        <f>(12/E21)*100</f>
        <v>0.1090909090909091</v>
      </c>
      <c r="K21" s="6" t="str">
        <f t="shared" si="3"/>
        <v>High</v>
      </c>
    </row>
    <row r="22" spans="1:11" x14ac:dyDescent="0.3">
      <c r="A22" s="2" t="s">
        <v>44</v>
      </c>
      <c r="B22" s="3">
        <v>415600</v>
      </c>
      <c r="C22" s="5">
        <v>0.08</v>
      </c>
      <c r="D22" s="2">
        <v>4</v>
      </c>
      <c r="E22" s="2">
        <v>36000</v>
      </c>
      <c r="F22" s="2">
        <v>23900</v>
      </c>
      <c r="G22" s="2" t="s">
        <v>8</v>
      </c>
      <c r="H22" s="6">
        <f t="shared" si="0"/>
        <v>12100</v>
      </c>
      <c r="I22" s="7">
        <f t="shared" si="1"/>
        <v>8672.4826627680086</v>
      </c>
      <c r="J22" s="8">
        <f t="shared" si="2"/>
        <v>3.3333333333333333E-2</v>
      </c>
      <c r="K22" s="6" t="str">
        <f t="shared" si="3"/>
        <v>Low</v>
      </c>
    </row>
    <row r="23" spans="1:11" x14ac:dyDescent="0.3">
      <c r="A23" s="2" t="s">
        <v>45</v>
      </c>
      <c r="B23" s="3">
        <v>378000</v>
      </c>
      <c r="C23" s="4">
        <v>0.10100000000000001</v>
      </c>
      <c r="D23" s="2">
        <v>3</v>
      </c>
      <c r="E23" s="2">
        <v>47000</v>
      </c>
      <c r="F23" s="2">
        <v>34800</v>
      </c>
      <c r="G23" s="2" t="s">
        <v>10</v>
      </c>
      <c r="H23" s="6">
        <f t="shared" si="0"/>
        <v>12200</v>
      </c>
      <c r="I23" s="7">
        <f t="shared" si="1"/>
        <v>10516.35740174996</v>
      </c>
      <c r="J23" s="8">
        <f t="shared" si="2"/>
        <v>2.553191489361702E-2</v>
      </c>
      <c r="K23" s="6" t="str">
        <f t="shared" si="3"/>
        <v>Low</v>
      </c>
    </row>
    <row r="24" spans="1:11" x14ac:dyDescent="0.3">
      <c r="A24" s="2" t="s">
        <v>46</v>
      </c>
      <c r="B24" s="3">
        <v>398000</v>
      </c>
      <c r="C24" s="4">
        <v>8.8999999999999996E-2</v>
      </c>
      <c r="D24" s="2">
        <v>3</v>
      </c>
      <c r="E24" s="2">
        <v>42000</v>
      </c>
      <c r="F24" s="2">
        <v>35600</v>
      </c>
      <c r="G24" s="2" t="s">
        <v>8</v>
      </c>
      <c r="H24" s="6">
        <f t="shared" si="0"/>
        <v>6400</v>
      </c>
      <c r="I24" s="7">
        <f t="shared" si="1"/>
        <v>11070.731261591336</v>
      </c>
      <c r="J24" s="8">
        <f t="shared" si="2"/>
        <v>2.8571428571428574E-2</v>
      </c>
      <c r="K24" s="6" t="str">
        <f t="shared" si="3"/>
        <v>Low</v>
      </c>
    </row>
    <row r="25" spans="1:11" x14ac:dyDescent="0.3">
      <c r="A25" s="2" t="s">
        <v>47</v>
      </c>
      <c r="B25" s="3">
        <v>346790</v>
      </c>
      <c r="C25" s="5">
        <v>0.12</v>
      </c>
      <c r="D25" s="2">
        <v>3</v>
      </c>
      <c r="E25" s="2">
        <v>45000</v>
      </c>
      <c r="F25" s="2">
        <v>35200</v>
      </c>
      <c r="G25" s="2" t="s">
        <v>9</v>
      </c>
      <c r="H25" s="6">
        <f t="shared" si="0"/>
        <v>9800</v>
      </c>
      <c r="I25" s="7">
        <f t="shared" si="1"/>
        <v>9650.8871034837921</v>
      </c>
      <c r="J25" s="8">
        <f t="shared" si="2"/>
        <v>2.6666666666666668E-2</v>
      </c>
      <c r="K25" s="6" t="str">
        <f t="shared" si="3"/>
        <v>Low</v>
      </c>
    </row>
    <row r="26" spans="1:11" x14ac:dyDescent="0.3">
      <c r="A26" s="2" t="s">
        <v>48</v>
      </c>
      <c r="B26" s="3">
        <v>290654</v>
      </c>
      <c r="C26" s="4">
        <v>0.11700000000000001</v>
      </c>
      <c r="D26" s="2">
        <v>2</v>
      </c>
      <c r="E26" s="2">
        <v>25000</v>
      </c>
      <c r="F26" s="2">
        <v>15400</v>
      </c>
      <c r="G26" s="2" t="s">
        <v>8</v>
      </c>
      <c r="H26" s="6">
        <f t="shared" si="0"/>
        <v>9600</v>
      </c>
      <c r="I26" s="7">
        <f t="shared" si="1"/>
        <v>12125.34862296674</v>
      </c>
      <c r="J26" s="8">
        <f t="shared" si="2"/>
        <v>4.8000000000000001E-2</v>
      </c>
      <c r="K26" s="6" t="str">
        <f t="shared" si="3"/>
        <v>Low</v>
      </c>
    </row>
    <row r="27" spans="1:11" x14ac:dyDescent="0.3">
      <c r="A27" s="2" t="s">
        <v>49</v>
      </c>
      <c r="B27" s="3">
        <v>208567</v>
      </c>
      <c r="C27" s="4">
        <v>0.1208</v>
      </c>
      <c r="D27" s="2">
        <v>2</v>
      </c>
      <c r="E27" s="2">
        <v>24000</v>
      </c>
      <c r="F27" s="2">
        <v>10000</v>
      </c>
      <c r="G27" s="2" t="s">
        <v>10</v>
      </c>
      <c r="H27" s="6">
        <f t="shared" si="0"/>
        <v>14000</v>
      </c>
      <c r="I27" s="7">
        <f t="shared" si="1"/>
        <v>8701.2311699388974</v>
      </c>
      <c r="J27" s="8">
        <f t="shared" si="2"/>
        <v>0.05</v>
      </c>
      <c r="K27" s="6" t="str">
        <f t="shared" si="3"/>
        <v>Medium</v>
      </c>
    </row>
    <row r="28" spans="1:11" x14ac:dyDescent="0.3">
      <c r="A28" s="2" t="s">
        <v>50</v>
      </c>
      <c r="B28" s="3">
        <v>189453</v>
      </c>
      <c r="C28" s="5">
        <v>0.09</v>
      </c>
      <c r="D28" s="2">
        <v>2</v>
      </c>
      <c r="E28" s="2">
        <v>16000</v>
      </c>
      <c r="F28" s="2">
        <v>10500</v>
      </c>
      <c r="G28" s="2" t="s">
        <v>8</v>
      </c>
      <c r="H28" s="6">
        <f t="shared" si="0"/>
        <v>5500</v>
      </c>
      <c r="I28" s="7">
        <f t="shared" si="1"/>
        <v>7901.2776353785976</v>
      </c>
      <c r="J28" s="8">
        <f t="shared" si="2"/>
        <v>7.4999999999999997E-2</v>
      </c>
      <c r="K28" s="6" t="str">
        <f t="shared" si="3"/>
        <v>Medium</v>
      </c>
    </row>
    <row r="29" spans="1:11" x14ac:dyDescent="0.3">
      <c r="A29" s="2" t="s">
        <v>51</v>
      </c>
      <c r="B29" s="3">
        <v>486380</v>
      </c>
      <c r="C29" s="4">
        <v>0.10780000000000001</v>
      </c>
      <c r="D29" s="2">
        <v>5</v>
      </c>
      <c r="E29" s="2">
        <v>55000</v>
      </c>
      <c r="F29" s="2">
        <v>45000</v>
      </c>
      <c r="G29" s="2" t="s">
        <v>8</v>
      </c>
      <c r="H29" s="6">
        <f t="shared" si="0"/>
        <v>10000</v>
      </c>
      <c r="I29" s="7">
        <f t="shared" si="1"/>
        <v>8128.5636302971989</v>
      </c>
      <c r="J29" s="8">
        <f t="shared" si="2"/>
        <v>2.181818181818182E-2</v>
      </c>
      <c r="K29" s="6" t="str">
        <f t="shared" si="3"/>
        <v>Low</v>
      </c>
    </row>
    <row r="30" spans="1:11" x14ac:dyDescent="0.3">
      <c r="A30" s="2" t="s">
        <v>52</v>
      </c>
      <c r="B30" s="3">
        <v>208492</v>
      </c>
      <c r="C30" s="5">
        <v>0.11</v>
      </c>
      <c r="D30" s="2">
        <v>3</v>
      </c>
      <c r="E30" s="2">
        <v>23000</v>
      </c>
      <c r="F30" s="2">
        <v>15000</v>
      </c>
      <c r="G30" s="2" t="s">
        <v>9</v>
      </c>
      <c r="H30" s="6">
        <f t="shared" si="0"/>
        <v>8000</v>
      </c>
      <c r="I30" s="7">
        <f t="shared" si="1"/>
        <v>5801.2710204203213</v>
      </c>
      <c r="J30" s="8">
        <f t="shared" si="2"/>
        <v>5.2173913043478258E-2</v>
      </c>
      <c r="K30" s="6" t="str">
        <f t="shared" si="3"/>
        <v>Medium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monisha k</dc:creator>
  <cp:keywords/>
  <dc:description/>
  <cp:lastModifiedBy>monisha k</cp:lastModifiedBy>
  <cp:revision/>
  <dcterms:created xsi:type="dcterms:W3CDTF">2015-06-05T18:17:20Z</dcterms:created>
  <dcterms:modified xsi:type="dcterms:W3CDTF">2026-01-31T23:45:47Z</dcterms:modified>
  <cp:category/>
  <cp:contentStatus/>
</cp:coreProperties>
</file>